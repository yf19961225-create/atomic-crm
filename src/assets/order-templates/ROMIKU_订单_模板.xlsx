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5480"/>
  </bookViews>
  <sheets>
    <sheet name="ROMIKU PI" sheetId="1" r:id="rId1"/>
  </sheets>
  <definedNames>
    <definedName name="_xlnm.Print_Area" localSheetId="0">'ROMIKU PI'!$A$1:$J$27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<sst xmlns="http://schemas.openxmlformats.org/spreadsheetml/2006/main" count="54" uniqueCount="49">
  <si>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r>
      <rPr>
        <b/>
        <sz val="36"/>
        <rFont val="Songti SC Regular"/>
        <charset val="134"/>
      </rPr>
      <t xml:space="preserve">                          </t>
    </r>
    <r>
      <rPr>
        <b/>
        <sz val="48"/>
        <rFont val="Songti SC Regular"/>
        <charset val="134"/>
      </rPr>
      <t>ORDER</t>
    </r>
  </si>
  <si>
    <t>ORDER.NO:
DATE:</t>
  </si>
  <si>
    <t>OD260923001
2026.9.22</t>
  </si>
  <si>
    <t>SELLER/卖方</t>
  </si>
  <si>
    <t>BUYER/买方</t>
  </si>
  <si>
    <t>COMPANY /NAME
公司名称</t>
  </si>
  <si>
    <t>YIWU ROMIKU NAIL SUPPLY 义乌络洣库美甲</t>
  </si>
  <si>
    <t>ADD
地址</t>
  </si>
  <si>
    <t>72790, 3rd Street, Unit 4, 2nd Floor, Gate 153,Global Digital Trade Center Yiwu,China
义乌市国际商贸城六区152号门2楼4单元3街72790 </t>
  </si>
  <si>
    <t>TEL/WHATSAPP
电话</t>
  </si>
  <si>
    <t>+86 190 2577 7589</t>
  </si>
  <si>
    <t>WEBSITE
网站</t>
  </si>
  <si>
    <t>www.romiku.com</t>
  </si>
  <si>
    <t>E-MAIL
邮箱</t>
  </si>
  <si>
    <t>info@romiku.com</t>
  </si>
  <si>
    <t>订单要求
REQUIREMENTS</t>
  </si>
  <si>
    <t>NO.
序号</t>
  </si>
  <si>
    <t>ITEM.NO
货号</t>
  </si>
  <si>
    <t>PRODUCT
产品名称</t>
  </si>
  <si>
    <t>PHOTO 
图片</t>
  </si>
  <si>
    <t>DESCRIPTION 
产品规格</t>
  </si>
  <si>
    <t>CTN
箱数</t>
  </si>
  <si>
    <t>QTY/CTN
装箱数</t>
  </si>
  <si>
    <t>TOTAL QTY
总数量</t>
  </si>
  <si>
    <t>UNIT PRICE
单价</t>
  </si>
  <si>
    <t>AMOUNT
总金额</t>
  </si>
  <si>
    <t>TOTAL CTN总箱数</t>
  </si>
  <si>
    <t>SUBTOTAL小计</t>
  </si>
  <si>
    <t>FREIGHT运费</t>
  </si>
  <si>
    <t>TOTAL AMOUNT总金额</t>
  </si>
  <si>
    <t>DEPOSIT定金 30%</t>
  </si>
  <si>
    <t>BALANCE尾款 70%</t>
  </si>
  <si>
    <t>TERMS &amp; CONDITIONS条款与条件</t>
  </si>
  <si>
    <t>TERMS OF PAYMENT 
付款条件</t>
  </si>
  <si>
    <t>30% deposit by T/T in advance; the remaining 70% to be paid in full within 7 days of receiving notification that the goods are ready for dispatch and prior to shipment
预付 30% 电汇（T/T）定金；在收到货物已准备好发运的通知后 7 天内，且在出运前，付清其余 70% 的尾款。</t>
  </si>
  <si>
    <t>BANK CHARGES 
银行费用</t>
  </si>
  <si>
    <t>All bank charges outside China shall be borne by the Buyer.
所有境外银行费用由买方承担。</t>
  </si>
  <si>
    <t>CANCELLATION &amp; DEPOSIT 
取消订单与定金处理</t>
  </si>
  <si>
    <t>If the order is cancelled or abandoned due to the Buyer's reasons, the 30% deposit is non-refundable and shall be forfeited as compensation for materials and labor.
若因买方原因取消或放弃订单，30% 的定金将不予退还，并作为材料和人工损失的补偿金予以没收。</t>
  </si>
  <si>
    <t>QUALITY CLAIM 
质量异议</t>
  </si>
  <si>
    <t>Any quality claim shall be raised within 30 days after arrival of goods at destination.
货物到达目的港后30天内提出质量异议。</t>
  </si>
  <si>
    <t>FORCE MAJEURE 
不可抗力</t>
  </si>
  <si>
    <t>Seller shall not be liable for any delay or failure in performance due to force majeure.
因不可抗力导致的延迟或无法履行，卖方不承担责任。</t>
  </si>
  <si>
    <t>DISPUTE SETTLEMENT 
争议解决</t>
  </si>
  <si>
    <t>Any dispute arising from this contract shall be settled through friendly negotiation.
因本合同产生的任何争议，双方应友好协商解决。</t>
  </si>
  <si>
    <t>DELIVERY LEAD TIME 
交货周期</t>
  </si>
  <si>
    <t>Delivery lead time: 7-10 days after receiving deposit, subject to stock availability.
收到定金后 7-10 天，具体视库存情况而定。</t>
  </si>
  <si>
    <t>PACKAGING 
包装</t>
  </si>
  <si>
    <t>Standard export packaging, securely packed in sturdy outer cartons.
标准出口包装，安全牢固地包装在坚固的外纸箱内。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</si>
</sst>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&quot;USD&quot;\ #,##0.00"/>
  </numFmts>
  <fonts count="39">
    <font>
      <sz val="11"/>
      <name val="Carlito"/>
      <charset val="134"/>
    </font>
    <font>
      <sz val="12"/>
      <name val="Carlito"/>
      <charset val="134"/>
    </font>
    <font>
      <b/>
      <sz val="36"/>
      <name val="Songti SC Regular"/>
      <charset val="134"/>
    </font>
    <font>
      <b/>
      <sz val="16"/>
      <name val="Songti SC Regular"/>
      <charset val="134"/>
    </font>
    <font>
      <b/>
      <sz val="18"/>
      <name val="Songti SC Regular"/>
      <charset val="134"/>
    </font>
    <font>
      <b/>
      <sz val="22"/>
      <name val="宋体"/>
      <charset val="134"/>
    </font>
    <font>
      <b/>
      <sz val="28"/>
      <name val="宋体"/>
      <charset val="134"/>
    </font>
    <font>
      <b/>
      <sz val="36"/>
      <name val="宋体"/>
      <charset val="134"/>
    </font>
    <font>
      <b/>
      <sz val="20"/>
      <name val="Songti SC Regular"/>
      <charset val="134"/>
    </font>
    <font>
      <b/>
      <sz val="28"/>
      <name val="Songti SC Regular"/>
      <charset val="134"/>
    </font>
    <font>
      <b/>
      <sz val="24"/>
      <name val="Songti SC Regular"/>
      <charset val="134"/>
    </font>
    <font>
      <sz val="18"/>
      <name val="Songti SC Regular"/>
      <charset val="134"/>
    </font>
    <font>
      <sz val="12"/>
      <name val="Songti SC Regular"/>
      <charset val="134"/>
    </font>
    <font>
      <sz val="12"/>
      <color theme="1"/>
      <name val="Songti SC Regular"/>
      <charset val="134"/>
    </font>
    <font>
      <b/>
      <sz val="12"/>
      <color rgb="FF1A365D"/>
      <name val="Arial"/>
      <charset val="134"/>
    </font>
    <font>
      <sz val="10"/>
      <color rgb="FF334155"/>
      <name val="Arial"/>
      <charset val="134"/>
    </font>
    <font>
      <sz val="9"/>
      <color rgb="FF64748B"/>
      <name val="Arial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48"/>
      <name val="Songti SC Regular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/>
      <bottom style="thin">
        <color rgb="FFE2E8F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E2E8F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</cellStyleXfs>
  <cellXfs count="62">
    <xf numFmtId="0" fontId="0" fillId="0" borderId="0" xfId="49"/>
    <xf numFmtId="0" fontId="1" fillId="0" borderId="0" xfId="49" applyFont="1"/>
    <xf numFmtId="176" fontId="0" fillId="0" borderId="0" xfId="49" applyNumberFormat="1"/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right" wrapText="1"/>
    </xf>
    <xf numFmtId="0" fontId="3" fillId="2" borderId="3" xfId="49" applyNumberFormat="1" applyFont="1" applyFill="1" applyBorder="1" applyAlignment="1">
      <alignment horizontal="left" wrapText="1"/>
    </xf>
    <xf numFmtId="0" fontId="4" fillId="3" borderId="0" xfId="49" applyNumberFormat="1" applyFont="1" applyFill="1" applyAlignment="1">
      <alignment horizontal="center" vertical="center" wrapText="1"/>
    </xf>
    <xf numFmtId="0" fontId="4" fillId="3" borderId="4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left" vertical="center" wrapText="1"/>
    </xf>
    <xf numFmtId="0" fontId="3" fillId="2" borderId="1" xfId="49" applyNumberFormat="1" applyFont="1" applyFill="1" applyBorder="1" applyAlignment="1">
      <alignment horizontal="left" vertical="center" wrapText="1"/>
    </xf>
    <xf numFmtId="0" fontId="3" fillId="2" borderId="2" xfId="49" applyNumberFormat="1" applyFont="1" applyFill="1" applyBorder="1" applyAlignment="1">
      <alignment horizontal="left" vertical="center" wrapText="1"/>
    </xf>
    <xf numFmtId="0" fontId="3" fillId="2" borderId="3" xfId="49" applyNumberFormat="1" applyFont="1" applyFill="1" applyBorder="1" applyAlignment="1">
      <alignment horizontal="left" vertical="center" wrapText="1"/>
    </xf>
    <xf numFmtId="0" fontId="3" fillId="0" borderId="4" xfId="0" applyFont="1" applyFill="1" applyBorder="1">
      <alignment vertical="center"/>
    </xf>
    <xf numFmtId="0" fontId="3" fillId="2" borderId="4" xfId="49" applyNumberFormat="1" applyFont="1" applyFill="1" applyBorder="1" applyAlignment="1">
      <alignment horizontal="left" vertical="center" wrapText="1"/>
    </xf>
    <xf numFmtId="0" fontId="5" fillId="0" borderId="4" xfId="49" applyNumberFormat="1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horizontal="center" vertical="center" wrapText="1"/>
    </xf>
    <xf numFmtId="0" fontId="7" fillId="0" borderId="4" xfId="49" applyNumberFormat="1" applyFont="1" applyFill="1" applyBorder="1" applyAlignment="1">
      <alignment horizontal="center" vertical="center" wrapText="1"/>
    </xf>
    <xf numFmtId="0" fontId="8" fillId="3" borderId="5" xfId="49" applyNumberFormat="1" applyFont="1" applyFill="1" applyBorder="1" applyAlignment="1">
      <alignment horizontal="center" vertical="center" wrapText="1"/>
    </xf>
    <xf numFmtId="0" fontId="8" fillId="3" borderId="6" xfId="49" applyNumberFormat="1" applyFont="1" applyFill="1" applyBorder="1" applyAlignment="1">
      <alignment horizontal="center" vertical="center" wrapText="1"/>
    </xf>
    <xf numFmtId="176" fontId="8" fillId="3" borderId="6" xfId="49" applyNumberFormat="1" applyFont="1" applyFill="1" applyBorder="1" applyAlignment="1">
      <alignment horizontal="center" vertical="center" wrapText="1"/>
    </xf>
    <xf numFmtId="0" fontId="9" fillId="0" borderId="4" xfId="49" applyNumberFormat="1" applyFont="1" applyFill="1" applyBorder="1" applyAlignment="1">
      <alignment horizontal="center" vertical="center" wrapText="1"/>
    </xf>
    <xf numFmtId="0" fontId="9" fillId="0" borderId="4" xfId="49" applyNumberFormat="1" applyFont="1" applyFill="1" applyBorder="1" applyAlignment="1">
      <alignment vertical="center" wrapText="1"/>
    </xf>
    <xf numFmtId="3" fontId="9" fillId="0" borderId="4" xfId="49" applyNumberFormat="1" applyFont="1" applyFill="1" applyBorder="1" applyAlignment="1">
      <alignment horizontal="center" vertical="center" wrapText="1"/>
    </xf>
    <xf numFmtId="7" fontId="9" fillId="0" borderId="4" xfId="49" applyNumberFormat="1" applyFont="1" applyFill="1" applyBorder="1" applyAlignment="1">
      <alignment horizontal="center" vertical="center" wrapText="1"/>
    </xf>
    <xf numFmtId="3" fontId="9" fillId="0" borderId="7" xfId="49" applyNumberFormat="1" applyFont="1" applyFill="1" applyBorder="1" applyAlignment="1">
      <alignment horizontal="center" vertical="center" wrapText="1"/>
    </xf>
    <xf numFmtId="176" fontId="9" fillId="0" borderId="7" xfId="49" applyNumberFormat="1" applyFont="1" applyFill="1" applyBorder="1" applyAlignment="1">
      <alignment horizontal="center" vertical="center" wrapText="1"/>
    </xf>
    <xf numFmtId="7" fontId="9" fillId="0" borderId="8" xfId="49" applyNumberFormat="1" applyFont="1" applyFill="1" applyBorder="1" applyAlignment="1">
      <alignment horizontal="center" vertical="center" wrapText="1"/>
    </xf>
    <xf numFmtId="0" fontId="9" fillId="0" borderId="9" xfId="49" applyNumberFormat="1" applyFont="1" applyFill="1" applyBorder="1" applyAlignment="1">
      <alignment horizontal="center" vertical="center" wrapText="1"/>
    </xf>
    <xf numFmtId="0" fontId="9" fillId="0" borderId="9" xfId="49" applyNumberFormat="1" applyFont="1" applyFill="1" applyBorder="1" applyAlignment="1">
      <alignment vertical="center" wrapText="1"/>
    </xf>
    <xf numFmtId="3" fontId="9" fillId="0" borderId="10" xfId="49" applyNumberFormat="1" applyFont="1" applyFill="1" applyBorder="1" applyAlignment="1">
      <alignment horizontal="center" vertical="center" wrapText="1"/>
    </xf>
    <xf numFmtId="176" fontId="9" fillId="0" borderId="10" xfId="49" applyNumberFormat="1" applyFont="1" applyFill="1" applyBorder="1" applyAlignment="1">
      <alignment horizontal="center" vertical="center" wrapText="1"/>
    </xf>
    <xf numFmtId="177" fontId="10" fillId="0" borderId="4" xfId="49" applyNumberFormat="1" applyFont="1" applyFill="1" applyBorder="1" applyAlignment="1">
      <alignment horizontal="right" vertical="center" wrapText="1"/>
    </xf>
    <xf numFmtId="0" fontId="10" fillId="0" borderId="4" xfId="49" applyNumberFormat="1" applyFont="1" applyFill="1" applyBorder="1" applyAlignment="1">
      <alignment horizontal="center" vertical="center" wrapText="1"/>
    </xf>
    <xf numFmtId="177" fontId="10" fillId="0" borderId="2" xfId="49" applyNumberFormat="1" applyFont="1" applyFill="1" applyBorder="1" applyAlignment="1">
      <alignment horizontal="right" vertical="center" wrapText="1"/>
    </xf>
    <xf numFmtId="177" fontId="10" fillId="0" borderId="3" xfId="49" applyNumberFormat="1" applyFont="1" applyFill="1" applyBorder="1" applyAlignment="1">
      <alignment horizontal="right" vertical="center" wrapText="1"/>
    </xf>
    <xf numFmtId="7" fontId="10" fillId="0" borderId="4" xfId="49" applyNumberFormat="1" applyFont="1" applyFill="1" applyBorder="1" applyAlignment="1">
      <alignment horizontal="right" vertical="center" wrapText="1"/>
    </xf>
    <xf numFmtId="177" fontId="10" fillId="0" borderId="1" xfId="49" applyNumberFormat="1" applyFont="1" applyFill="1" applyBorder="1" applyAlignment="1">
      <alignment horizontal="right" vertical="center" wrapText="1"/>
    </xf>
    <xf numFmtId="176" fontId="10" fillId="0" borderId="3" xfId="49" applyNumberFormat="1" applyFont="1" applyFill="1" applyBorder="1" applyAlignment="1">
      <alignment horizontal="right" vertical="center" wrapText="1"/>
    </xf>
    <xf numFmtId="177" fontId="10" fillId="0" borderId="0" xfId="49" applyNumberFormat="1" applyFont="1" applyFill="1" applyAlignment="1">
      <alignment horizontal="right" vertical="center" wrapText="1"/>
    </xf>
    <xf numFmtId="176" fontId="10" fillId="0" borderId="11" xfId="49" applyNumberFormat="1" applyFont="1" applyFill="1" applyBorder="1" applyAlignment="1">
      <alignment horizontal="right" vertical="center" wrapText="1"/>
    </xf>
    <xf numFmtId="176" fontId="10" fillId="0" borderId="4" xfId="49" applyNumberFormat="1" applyFont="1" applyFill="1" applyBorder="1" applyAlignment="1">
      <alignment horizontal="right" vertical="center" wrapText="1"/>
    </xf>
    <xf numFmtId="0" fontId="8" fillId="3" borderId="0" xfId="49" applyNumberFormat="1" applyFont="1" applyFill="1" applyAlignment="1">
      <alignment horizontal="center" vertical="center" wrapText="1"/>
    </xf>
    <xf numFmtId="176" fontId="8" fillId="3" borderId="0" xfId="49" applyNumberFormat="1" applyFont="1" applyFill="1" applyAlignment="1">
      <alignment horizontal="center" vertical="center" wrapText="1"/>
    </xf>
    <xf numFmtId="0" fontId="4" fillId="0" borderId="4" xfId="49" applyNumberFormat="1" applyFont="1" applyFill="1" applyBorder="1" applyAlignment="1">
      <alignment horizontal="center" vertical="center"/>
    </xf>
    <xf numFmtId="0" fontId="4" fillId="0" borderId="4" xfId="49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>
      <alignment vertical="center" wrapText="1"/>
    </xf>
    <xf numFmtId="0" fontId="11" fillId="0" borderId="1" xfId="49" applyNumberFormat="1" applyFont="1" applyFill="1" applyBorder="1" applyAlignment="1">
      <alignment horizontal="left" vertical="center" wrapText="1"/>
    </xf>
    <xf numFmtId="0" fontId="11" fillId="0" borderId="2" xfId="49" applyNumberFormat="1" applyFont="1" applyFill="1" applyBorder="1" applyAlignment="1">
      <alignment horizontal="left" vertical="center" wrapText="1"/>
    </xf>
    <xf numFmtId="176" fontId="11" fillId="0" borderId="2" xfId="49" applyNumberFormat="1" applyFont="1" applyFill="1" applyBorder="1" applyAlignment="1">
      <alignment horizontal="left" vertical="center" wrapText="1"/>
    </xf>
    <xf numFmtId="176" fontId="11" fillId="0" borderId="3" xfId="49" applyNumberFormat="1" applyFont="1" applyFill="1" applyBorder="1" applyAlignment="1">
      <alignment horizontal="left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12" fillId="0" borderId="0" xfId="49" applyFont="1"/>
    <xf numFmtId="0" fontId="13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4" fillId="0" borderId="0" xfId="49" applyNumberFormat="1" applyFont="1" applyFill="1" applyAlignment="1">
      <alignment vertical="center" wrapText="1"/>
    </xf>
    <xf numFmtId="0" fontId="15" fillId="0" borderId="0" xfId="49" applyNumberFormat="1" applyFont="1" applyFill="1" applyBorder="1" applyAlignment="1">
      <alignment vertical="center" wrapText="1"/>
    </xf>
    <xf numFmtId="176" fontId="15" fillId="0" borderId="0" xfId="49" applyNumberFormat="1" applyFont="1" applyFill="1" applyBorder="1" applyAlignment="1">
      <alignment vertical="center" wrapText="1"/>
    </xf>
    <xf numFmtId="0" fontId="16" fillId="0" borderId="0" xfId="49" applyNumberFormat="1" applyFont="1" applyFill="1" applyBorder="1" applyAlignment="1">
      <alignment horizontal="center" vertical="center" wrapText="1"/>
    </xf>
    <xf numFmtId="176" fontId="16" fillId="0" borderId="0" xfId="49" applyNumberFormat="1" applyFont="1" applyFill="1" applyBorder="1" applyAlignment="1">
      <alignment horizontal="center" vertical="center" wrapText="1"/>
    </xf>
    <xf numFmtId="0" fontId="17" fillId="0" borderId="0" xfId="49" applyFont="1"/>
    <xf numFmtId="0" fontId="3" fillId="2" borderId="1" xfId="49" applyNumberFormat="1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224790</xdr:colOff>
      <xdr:row>0</xdr:row>
      <xdr:rowOff>193040</xdr:rowOff>
    </xdr:from>
    <xdr:to>
      <xdr:col>2</xdr:col>
      <xdr:colOff>1007110</xdr:colOff>
      <xdr:row>0</xdr:row>
      <xdr:rowOff>1099185</xdr:rowOff>
    </xdr:to>
    <xdr:pic>
      <xdr:nvPicPr>
        <xdr:cNvPr id="2" name="图片 1" descr="黑色logo"/>
        <xdr:cNvPicPr>
          <a:picLocks noChangeAspect="1"/>
        </xdr:cNvPicPr>
      </xdr:nvPicPr>
      <xdr:blipFill>
        <a:blip r:embed="rId1"/>
        <a:srcRect t="32945" b="40175"/>
        <a:stretch>
          <a:fillRect/>
        </a:stretch>
      </xdr:blipFill>
      <xdr:spPr>
        <a:xfrm>
          <a:off x="224790" y="193040"/>
          <a:ext cx="3343275" cy="906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5"/>
  <sheetViews>
    <sheetView tabSelected="1" zoomScale="85" zoomScaleNormal="85" workbookViewId="0">
      <selection activeCell="M8" sqref="M8"/>
    </sheetView>
  </sheetViews>
  <sheetFormatPr defaultColWidth="9" defaultRowHeight="16.8"/>
  <cols>
    <col min="2" max="2" width="29.7788461538462" customWidth="1"/>
    <col min="3" max="3" width="33.8076923076923" customWidth="1"/>
    <col min="4" max="4" width="22.1057692307692" customWidth="1"/>
    <col min="5" max="5" width="58.0096153846154" customWidth="1"/>
    <col min="6" max="6" width="19.7980769230769" customWidth="1"/>
    <col min="7" max="7" width="20.8269230769231" customWidth="1"/>
    <col min="8" max="8" width="24.5096153846154" customWidth="1"/>
    <col min="9" max="9" width="29.0288461538462" style="2" customWidth="1"/>
    <col min="10" max="10" width="28.8461538461538" style="2" customWidth="1"/>
  </cols>
  <sheetData>
    <row r="1" ht="103" customHeight="1" spans="1:10">
      <c r="A1" s="3" t="s">
        <v>0</v>
      </c>
      <c r="B1" s="4"/>
      <c r="C1" s="4"/>
      <c r="D1" s="4"/>
      <c r="E1" s="4"/>
      <c r="F1" s="4"/>
      <c r="G1" s="4"/>
      <c r="H1" s="4"/>
      <c r="I1" s="5" t="s">
        <v>1</v>
      </c>
      <c r="J1" s="6" t="s">
        <v>2</v>
      </c>
    </row>
    <row r="2" ht="38" customHeight="1" spans="1:10">
      <c r="A2" s="7" t="s">
        <v>3</v>
      </c>
      <c r="B2" s="7"/>
      <c r="C2" s="7"/>
      <c r="D2" s="7"/>
      <c r="E2" s="7"/>
      <c r="F2" s="8" t="s">
        <v>4</v>
      </c>
      <c r="G2" s="8"/>
      <c r="H2" s="8"/>
      <c r="I2" s="8"/>
      <c r="J2" s="8"/>
    </row>
    <row r="3" ht="55" customHeight="1" spans="1:10">
      <c r="A3" s="9" t="s">
        <v>5</v>
      </c>
      <c r="B3" s="9"/>
      <c r="C3" s="10" t="s">
        <v>6</v>
      </c>
      <c r="D3" s="11"/>
      <c r="E3" s="11"/>
      <c r="F3" s="9" t="s">
        <v>5</v>
      </c>
      <c r="G3" s="9"/>
      <c r="H3" s="11"/>
      <c r="I3" s="11"/>
      <c r="J3" s="12"/>
    </row>
    <row r="4" ht="55" customHeight="1" spans="1:10">
      <c r="A4" s="9" t="s">
        <v>7</v>
      </c>
      <c r="B4" s="9"/>
      <c r="C4" s="10" t="s">
        <v>8</v>
      </c>
      <c r="D4" s="11"/>
      <c r="E4" s="11"/>
      <c r="F4" s="9" t="s">
        <v>7</v>
      </c>
      <c r="G4" s="9"/>
      <c r="H4" s="11"/>
      <c r="I4" s="11"/>
      <c r="J4" s="12"/>
    </row>
    <row r="5" ht="55" customHeight="1" spans="1:10">
      <c r="A5" s="9" t="s">
        <v>9</v>
      </c>
      <c r="B5" s="9"/>
      <c r="C5" s="62" t="s">
        <v>10</v>
      </c>
      <c r="D5" s="11"/>
      <c r="E5" s="11"/>
      <c r="F5" s="9" t="s">
        <v>9</v>
      </c>
      <c r="G5" s="9"/>
      <c r="H5" s="11"/>
      <c r="I5" s="11"/>
      <c r="J5" s="12"/>
    </row>
    <row r="6" ht="55" customHeight="1" spans="1:10">
      <c r="A6" s="9" t="s">
        <v>11</v>
      </c>
      <c r="B6" s="9"/>
      <c r="C6" s="13" t="s">
        <v>12</v>
      </c>
      <c r="D6" s="14"/>
      <c r="E6" s="14"/>
      <c r="F6" s="9" t="s">
        <v>11</v>
      </c>
      <c r="G6" s="9"/>
      <c r="H6" s="11"/>
      <c r="I6" s="11"/>
      <c r="J6" s="12"/>
    </row>
    <row r="7" ht="55" customHeight="1" spans="1:10">
      <c r="A7" s="9" t="s">
        <v>13</v>
      </c>
      <c r="B7" s="9"/>
      <c r="C7" s="13" t="s">
        <v>14</v>
      </c>
      <c r="D7" s="14"/>
      <c r="E7" s="14"/>
      <c r="F7" s="9" t="s">
        <v>13</v>
      </c>
      <c r="G7" s="9"/>
      <c r="H7" s="11"/>
      <c r="I7" s="11"/>
      <c r="J7" s="12"/>
    </row>
    <row r="8" ht="168" customHeight="1" spans="1:10">
      <c r="A8" s="15" t="s">
        <v>15</v>
      </c>
      <c r="B8" s="16"/>
      <c r="C8" s="17"/>
      <c r="D8" s="17"/>
      <c r="E8" s="17"/>
      <c r="F8" s="17"/>
      <c r="G8" s="17"/>
      <c r="H8" s="17"/>
      <c r="I8" s="17"/>
      <c r="J8" s="17"/>
    </row>
    <row r="9" ht="60" customHeight="1" spans="1:10">
      <c r="A9" s="18" t="s">
        <v>16</v>
      </c>
      <c r="B9" s="18" t="s">
        <v>17</v>
      </c>
      <c r="C9" s="18" t="s">
        <v>18</v>
      </c>
      <c r="D9" s="18" t="s">
        <v>19</v>
      </c>
      <c r="E9" s="18" t="s">
        <v>20</v>
      </c>
      <c r="F9" s="18" t="s">
        <v>21</v>
      </c>
      <c r="G9" s="19" t="s">
        <v>22</v>
      </c>
      <c r="H9" s="19" t="s">
        <v>23</v>
      </c>
      <c r="I9" s="20" t="s">
        <v>24</v>
      </c>
      <c r="J9" s="20" t="s">
        <v>25</v>
      </c>
    </row>
    <row r="10" ht="100" customHeight="1" spans="1:10">
      <c r="A10" s="21">
        <v>1</v>
      </c>
      <c r="B10" s="21"/>
      <c r="C10" s="21"/>
      <c r="D10" s="22"/>
      <c r="E10" s="21"/>
      <c r="F10" s="21"/>
      <c r="G10" s="23"/>
      <c r="H10" s="21"/>
      <c r="I10" s="21"/>
      <c r="J10" s="24"/>
    </row>
    <row r="11" ht="100" customHeight="1" spans="1:10">
      <c r="A11" s="21">
        <v>2</v>
      </c>
      <c r="B11" s="21"/>
      <c r="C11" s="21"/>
      <c r="D11" s="22"/>
      <c r="E11" s="21"/>
      <c r="F11" s="21"/>
      <c r="G11" s="25"/>
      <c r="H11" s="21">
        <f>G11*F11</f>
        <v>0</v>
      </c>
      <c r="I11" s="26"/>
      <c r="J11" s="27">
        <f>H11*I11</f>
        <v>0</v>
      </c>
    </row>
    <row r="12" ht="100" customHeight="1" spans="1:10">
      <c r="A12" s="21">
        <v>3</v>
      </c>
      <c r="B12" s="21"/>
      <c r="C12" s="21"/>
      <c r="D12" s="22"/>
      <c r="E12" s="21"/>
      <c r="F12" s="21"/>
      <c r="G12" s="25"/>
      <c r="H12" s="21">
        <f>G12*F12</f>
        <v>0</v>
      </c>
      <c r="I12" s="26"/>
      <c r="J12" s="27">
        <f>H12*I12</f>
        <v>0</v>
      </c>
    </row>
    <row r="13" ht="100" customHeight="1" spans="1:10">
      <c r="A13" s="28">
        <v>4</v>
      </c>
      <c r="B13" s="28"/>
      <c r="C13" s="28"/>
      <c r="D13" s="29"/>
      <c r="E13" s="28"/>
      <c r="F13" s="28"/>
      <c r="G13" s="30"/>
      <c r="H13" s="28">
        <f>G13*F13</f>
        <v>0</v>
      </c>
      <c r="I13" s="31"/>
      <c r="J13" s="27">
        <f>H13*I13</f>
        <v>0</v>
      </c>
    </row>
    <row r="14" ht="45" customHeight="1" spans="1:10">
      <c r="A14" s="32" t="s">
        <v>26</v>
      </c>
      <c r="B14" s="32"/>
      <c r="C14" s="32"/>
      <c r="D14" s="32"/>
      <c r="E14" s="32"/>
      <c r="F14" s="33">
        <f>SUM(F10:F13)</f>
        <v>0</v>
      </c>
      <c r="G14" s="34" t="s">
        <v>27</v>
      </c>
      <c r="H14" s="34"/>
      <c r="I14" s="35"/>
      <c r="J14" s="36">
        <f>SUM(J10:J13)</f>
        <v>0</v>
      </c>
    </row>
    <row r="15" ht="45" customHeight="1" spans="1:10">
      <c r="A15" s="37" t="s">
        <v>28</v>
      </c>
      <c r="B15" s="34"/>
      <c r="C15" s="34"/>
      <c r="D15" s="34"/>
      <c r="E15" s="34"/>
      <c r="F15" s="34"/>
      <c r="G15" s="34"/>
      <c r="H15" s="34"/>
      <c r="I15" s="38"/>
      <c r="J15" s="36">
        <v>0</v>
      </c>
    </row>
    <row r="16" ht="45" customHeight="1" spans="1:10">
      <c r="A16" s="39" t="s">
        <v>29</v>
      </c>
      <c r="B16" s="39"/>
      <c r="C16" s="39"/>
      <c r="D16" s="39"/>
      <c r="E16" s="39"/>
      <c r="F16" s="39"/>
      <c r="G16" s="39"/>
      <c r="H16" s="39"/>
      <c r="I16" s="40"/>
      <c r="J16" s="36">
        <f>J14+J15</f>
        <v>0</v>
      </c>
    </row>
    <row r="17" ht="45" customHeight="1" spans="1:10">
      <c r="A17" s="32" t="s">
        <v>30</v>
      </c>
      <c r="B17" s="32"/>
      <c r="C17" s="32"/>
      <c r="D17" s="32"/>
      <c r="E17" s="32"/>
      <c r="F17" s="32"/>
      <c r="G17" s="32"/>
      <c r="H17" s="32"/>
      <c r="I17" s="41"/>
      <c r="J17" s="36">
        <f>J16*30%</f>
        <v>0</v>
      </c>
    </row>
    <row r="18" ht="45" customHeight="1" spans="1:10">
      <c r="A18" s="32" t="s">
        <v>31</v>
      </c>
      <c r="B18" s="32"/>
      <c r="C18" s="32"/>
      <c r="D18" s="32"/>
      <c r="E18" s="32"/>
      <c r="F18" s="32"/>
      <c r="G18" s="32"/>
      <c r="H18" s="32"/>
      <c r="I18" s="41"/>
      <c r="J18" s="36">
        <f>J16-J17</f>
        <v>0</v>
      </c>
    </row>
    <row r="19" ht="30" customHeight="1" spans="1:10">
      <c r="A19" s="42" t="s">
        <v>32</v>
      </c>
      <c r="B19" s="42"/>
      <c r="C19" s="42"/>
      <c r="D19" s="42"/>
      <c r="E19" s="42"/>
      <c r="F19" s="42"/>
      <c r="G19" s="42"/>
      <c r="H19" s="42"/>
      <c r="I19" s="43"/>
      <c r="J19" s="43"/>
    </row>
    <row r="20" s="1" customFormat="1" ht="75" customHeight="1" spans="1:10">
      <c r="A20" s="44">
        <v>1</v>
      </c>
      <c r="B20" s="45" t="s">
        <v>33</v>
      </c>
      <c r="C20" s="46"/>
      <c r="D20" s="47" t="s">
        <v>34</v>
      </c>
      <c r="E20" s="48"/>
      <c r="F20" s="48"/>
      <c r="G20" s="48"/>
      <c r="H20" s="48"/>
      <c r="I20" s="49"/>
      <c r="J20" s="50"/>
    </row>
    <row r="21" s="1" customFormat="1" ht="75" customHeight="1" spans="1:10">
      <c r="A21" s="44">
        <v>2</v>
      </c>
      <c r="B21" s="51" t="s">
        <v>35</v>
      </c>
      <c r="C21" s="52"/>
      <c r="D21" s="47" t="s">
        <v>36</v>
      </c>
      <c r="E21" s="48"/>
      <c r="F21" s="48"/>
      <c r="G21" s="48"/>
      <c r="H21" s="48"/>
      <c r="I21" s="49"/>
      <c r="J21" s="50"/>
    </row>
    <row r="22" s="1" customFormat="1" ht="75" customHeight="1" spans="1:10">
      <c r="A22" s="44">
        <v>3</v>
      </c>
      <c r="B22" s="51" t="s">
        <v>37</v>
      </c>
      <c r="C22" s="52"/>
      <c r="D22" s="47" t="s">
        <v>38</v>
      </c>
      <c r="E22" s="48"/>
      <c r="F22" s="48"/>
      <c r="G22" s="48"/>
      <c r="H22" s="48"/>
      <c r="I22" s="48"/>
      <c r="J22" s="50"/>
    </row>
    <row r="23" s="1" customFormat="1" ht="75" customHeight="1" spans="1:10">
      <c r="A23" s="44">
        <v>4</v>
      </c>
      <c r="B23" s="51" t="s">
        <v>39</v>
      </c>
      <c r="C23" s="52"/>
      <c r="D23" s="47" t="s">
        <v>40</v>
      </c>
      <c r="E23" s="48"/>
      <c r="F23" s="48"/>
      <c r="G23" s="48"/>
      <c r="H23" s="48"/>
      <c r="I23" s="48"/>
      <c r="J23" s="50"/>
    </row>
    <row r="24" s="1" customFormat="1" ht="75" customHeight="1" spans="1:10">
      <c r="A24" s="44">
        <v>5</v>
      </c>
      <c r="B24" s="51" t="s">
        <v>41</v>
      </c>
      <c r="C24" s="52"/>
      <c r="D24" s="47" t="s">
        <v>42</v>
      </c>
      <c r="E24" s="48"/>
      <c r="F24" s="48"/>
      <c r="G24" s="48"/>
      <c r="H24" s="48"/>
      <c r="I24" s="48"/>
      <c r="J24" s="50"/>
    </row>
    <row r="25" s="1" customFormat="1" ht="75" customHeight="1" spans="1:10">
      <c r="A25" s="44">
        <v>6</v>
      </c>
      <c r="B25" s="51" t="s">
        <v>43</v>
      </c>
      <c r="C25" s="52"/>
      <c r="D25" s="47" t="s">
        <v>44</v>
      </c>
      <c r="E25" s="48"/>
      <c r="F25" s="48"/>
      <c r="G25" s="48"/>
      <c r="H25" s="48"/>
      <c r="I25" s="48"/>
      <c r="J25" s="50"/>
    </row>
    <row r="26" s="1" customFormat="1" ht="75" customHeight="1" spans="1:10">
      <c r="A26" s="44">
        <v>7</v>
      </c>
      <c r="B26" s="45" t="s">
        <v>45</v>
      </c>
      <c r="C26" s="46"/>
      <c r="D26" s="47" t="s">
        <v>46</v>
      </c>
      <c r="E26" s="48"/>
      <c r="F26" s="48"/>
      <c r="G26" s="48"/>
      <c r="H26" s="48"/>
      <c r="I26" s="49"/>
      <c r="J26" s="50"/>
    </row>
    <row r="27" s="1" customFormat="1" ht="75" customHeight="1" spans="1:10">
      <c r="A27" s="44">
        <v>8</v>
      </c>
      <c r="B27" s="45" t="s">
        <v>47</v>
      </c>
      <c r="C27" s="46"/>
      <c r="D27" s="47" t="s">
        <v>48</v>
      </c>
      <c r="E27" s="48"/>
      <c r="F27" s="48"/>
      <c r="G27" s="48"/>
      <c r="H27" s="48"/>
      <c r="I27" s="49"/>
      <c r="J27" s="50"/>
    </row>
    <row r="28" s="1" customFormat="1" ht="24" customHeight="1" spans="1:10">
      <c r="A28" s="53"/>
      <c r="B28" s="54"/>
      <c r="C28" s="54"/>
      <c r="D28" s="54"/>
      <c r="E28" s="54"/>
      <c r="F28" s="54"/>
      <c r="G28" s="54"/>
      <c r="H28" s="54"/>
      <c r="I28" s="55"/>
      <c r="J28" s="55"/>
    </row>
    <row r="29" ht="40" customHeight="1" spans="1:10">
      <c r="B29" s="56"/>
      <c r="C29" s="56"/>
      <c r="D29" s="56"/>
      <c r="E29" s="56"/>
      <c r="F29" s="56"/>
      <c r="G29" s="57"/>
      <c r="H29" s="57"/>
      <c r="I29" s="58"/>
      <c r="J29" s="58"/>
    </row>
    <row r="30" spans="1:10">
      <c r="C30" s="59"/>
      <c r="D30" s="59"/>
      <c r="E30" s="59"/>
      <c r="F30" s="59"/>
      <c r="G30" s="59"/>
      <c r="H30" s="59"/>
      <c r="I30" s="60"/>
      <c r="J30" s="60"/>
    </row>
    <row r="31" spans="1:10">
      <c r="B31" s="57"/>
      <c r="C31" s="57"/>
      <c r="D31" s="57"/>
      <c r="E31" s="57"/>
      <c r="F31" s="57"/>
      <c r="G31" s="57"/>
      <c r="H31" s="57"/>
      <c r="I31" s="58"/>
      <c r="J31" s="58"/>
    </row>
    <row r="32" spans="1:10">
      <c r="B32" s="57"/>
      <c r="C32" s="57"/>
      <c r="D32" s="57"/>
      <c r="E32" s="57"/>
      <c r="F32" s="57"/>
      <c r="G32" s="57"/>
      <c r="H32" s="57"/>
      <c r="I32" s="58"/>
      <c r="J32" s="58"/>
    </row>
    <row r="33" spans="2:10">
      <c r="B33" s="57"/>
      <c r="C33" s="57"/>
      <c r="D33" s="57"/>
      <c r="E33" s="57"/>
      <c r="F33" s="57"/>
      <c r="G33" s="57"/>
      <c r="H33" s="57"/>
      <c r="I33" s="58"/>
      <c r="J33" s="58"/>
    </row>
    <row r="34" spans="2:10">
      <c r="B34" s="57"/>
      <c r="C34" s="57"/>
      <c r="D34" s="57"/>
      <c r="E34" s="57"/>
      <c r="F34" s="57"/>
      <c r="G34" s="57"/>
      <c r="H34" s="57"/>
      <c r="I34" s="58"/>
      <c r="J34" s="58"/>
    </row>
    <row r="55" spans="3:3">
      <c r="C55" s="61"/>
    </row>
  </sheetData>
  <mergeCells count="49">
    <mergeCell ref="A1:H1"/>
    <mergeCell ref="A2:E2"/>
    <mergeCell ref="F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A8:B8"/>
    <mergeCell ref="C8:J8"/>
    <mergeCell ref="A14:E14"/>
    <mergeCell ref="G14:I14"/>
    <mergeCell ref="A15:I15"/>
    <mergeCell ref="A16:I16"/>
    <mergeCell ref="A17:I17"/>
    <mergeCell ref="A18:I18"/>
    <mergeCell ref="A19:J19"/>
    <mergeCell ref="B20:C20"/>
    <mergeCell ref="D20:J20"/>
    <mergeCell ref="B21:C21"/>
    <mergeCell ref="D21:J21"/>
    <mergeCell ref="B22:C22"/>
    <mergeCell ref="D22:J22"/>
    <mergeCell ref="B23:C23"/>
    <mergeCell ref="D23:J23"/>
    <mergeCell ref="B24:C24"/>
    <mergeCell ref="D24:J24"/>
    <mergeCell ref="B25:C25"/>
    <mergeCell ref="D25:J25"/>
    <mergeCell ref="B26:C26"/>
    <mergeCell ref="D26:J26"/>
    <mergeCell ref="B27:C27"/>
    <mergeCell ref="D27:J27"/>
    <mergeCell ref="B28:J28"/>
  </mergeCells>
  <printOptions horizontalCentered="1" verticalCentered="1"/>
  <pageMargins left="0.25" right="0.25" top="0.25" bottom="0.25" header="0.12" footer="0.12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ROMIKU 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2026-05-24T18:45:00Z</dcterms:created>
  <dcterms:modified xsi:type="dcterms:W3CDTF">2026-09-28T14:30:22Z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3E350758CD1E4AAC776BB36AC045119B_43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